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 Duplicate Bills - Detail" sheetId="1" state="visible" r:id="rId3"/>
    <sheet name="Update Sheet - New Syste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<sst xmlns="http://schemas.openxmlformats.org/spreadsheetml/2006/main" count="69" uniqueCount="45">
  <si>
    <t xml:space="preserve">Zoho Legacy Duplicate Bill Numbers – 4 Individually Verified Bills</t>
  </si>
  <si>
    <t xml:space="preserve">Bill Numbers '001' and '0000001885' are each reused in the Zoho legacy data for two entirely different vendors/bills. Each of the 4 bills below is treated as a separate, individual record (matched on Bill Number + Vendor + Legacy Zoho Bill ID) and cross-checked against the current system, since a Bill-Number-only match would incorrectly conflate them.</t>
  </si>
  <si>
    <t xml:space="preserve">Sl No.</t>
  </si>
  <si>
    <t xml:space="preserve">Bill Number</t>
  </si>
  <si>
    <t xml:space="preserve">Legacy Zoho Bill ID</t>
  </si>
  <si>
    <t xml:space="preserve">Vendor</t>
  </si>
  <si>
    <t xml:space="preserve">Bill Date</t>
  </si>
  <si>
    <t xml:space="preserve">Due Date</t>
  </si>
  <si>
    <t xml:space="preserve">Status (Legacy)</t>
  </si>
  <si>
    <t xml:space="preserve">Total Amount ($)</t>
  </si>
  <si>
    <t xml:space="preserve">Amount Paid ($)</t>
  </si>
  <si>
    <t xml:space="preserve">Balance Due ($)</t>
  </si>
  <si>
    <t xml:space="preserve">Current Value in New System - Status</t>
  </si>
  <si>
    <t xml:space="preserve">Current Value in New System - Total Amount ($)</t>
  </si>
  <si>
    <t xml:space="preserve">New System Bill ID (Unique Ref.)</t>
  </si>
  <si>
    <t xml:space="preserve">Tax Name</t>
  </si>
  <si>
    <t xml:space="preserve">Tax %</t>
  </si>
  <si>
    <t xml:space="preserve">Tax Amount ($)</t>
  </si>
  <si>
    <t xml:space="preserve">001</t>
  </si>
  <si>
    <t xml:space="preserve">6671277000013636099</t>
  </si>
  <si>
    <t xml:space="preserve">NESTOR ISRAEL ESTRADA</t>
  </si>
  <si>
    <t xml:space="preserve">2026-05-05</t>
  </si>
  <si>
    <t xml:space="preserve">Overdue</t>
  </si>
  <si>
    <t xml:space="preserve">No Tax</t>
  </si>
  <si>
    <t xml:space="preserve">6671277000013636182</t>
  </si>
  <si>
    <t xml:space="preserve">CLARENCE GILL GARCIA</t>
  </si>
  <si>
    <t xml:space="preserve">Paid</t>
  </si>
  <si>
    <t xml:space="preserve">0000001885</t>
  </si>
  <si>
    <t xml:space="preserve">6671277000015104128</t>
  </si>
  <si>
    <t xml:space="preserve">GRUPO Q INVESTMENTS S.A.</t>
  </si>
  <si>
    <t xml:space="preserve">2026-05-30</t>
  </si>
  <si>
    <t xml:space="preserve">ITBMS 7%</t>
  </si>
  <si>
    <t xml:space="preserve">6671277000016254546</t>
  </si>
  <si>
    <t xml:space="preserve">JETOUR PETROAUTOS REPAIRS &amp; MAINTENANCE</t>
  </si>
  <si>
    <t xml:space="preserve">2025-12-26</t>
  </si>
  <si>
    <t xml:space="preserve">ITBMS (INPUT) 7%</t>
  </si>
  <si>
    <t xml:space="preserve">Update / Reconciliation Sheet – New System (Individual Bill-Level Verification)</t>
  </si>
  <si>
    <t xml:space="preserve">Use this sheet to push/confirm updates in the new system. Each row is matched to its unique New System Bill ID (not just Bill Number) so the two same-numbered bills per pair are updated independently. 'Match?' columns are formulas — they will recalculate if source values change.</t>
  </si>
  <si>
    <t xml:space="preserve">Status - Legacy</t>
  </si>
  <si>
    <t xml:space="preserve">Status - New System</t>
  </si>
  <si>
    <t xml:space="preserve">Status Match?</t>
  </si>
  <si>
    <t xml:space="preserve">Total Amount ($) - Legacy</t>
  </si>
  <si>
    <t xml:space="preserve">Total Amount ($) - New System</t>
  </si>
  <si>
    <t xml:space="preserve">Amount Match?</t>
  </si>
  <si>
    <t xml:space="preserve">Action Required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</si>
</sst>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10" min="9" style="0" width="13"/>
    <col collapsed="false" customWidth="true" hidden="false" outlineLevel="0" max="11" min="11" style="0" width="20"/>
    <col collapsed="false" customWidth="true" hidden="false" outlineLevel="0" max="13" min="12" style="0" width="22"/>
    <col collapsed="false" customWidth="true" hidden="false" outlineLevel="0" max="14" min="14" style="0" width="16"/>
    <col collapsed="false" customWidth="true" hidden="false" outlineLevel="0" max="15" min="15" style="0" width="8"/>
    <col collapsed="false" customWidth="true" hidden="false" outlineLevel="0" max="16" min="16" style="0" width="13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4" t="n">
        <v>1</v>
      </c>
      <c r="B5" s="4" t="s">
        <v>18</v>
      </c>
      <c r="C5" s="4" t="s">
        <v>19</v>
      </c>
      <c r="D5" s="5" t="s">
        <v>20</v>
      </c>
      <c r="E5" s="4" t="s">
        <v>21</v>
      </c>
      <c r="F5" s="4" t="s">
        <v>21</v>
      </c>
      <c r="G5" s="4" t="s">
        <v>22</v>
      </c>
      <c r="H5" s="6" t="n">
        <v>195</v>
      </c>
      <c r="I5" s="6" t="n">
        <f aca="false">H5-J5</f>
        <v>0</v>
      </c>
      <c r="J5" s="6" t="n">
        <v>195</v>
      </c>
      <c r="K5" s="4" t="s">
        <v>22</v>
      </c>
      <c r="L5" s="6" t="n">
        <v>195</v>
      </c>
      <c r="M5" s="4" t="s">
        <v>19</v>
      </c>
      <c r="N5" s="4" t="s">
        <v>23</v>
      </c>
      <c r="O5" s="7" t="n">
        <v>0</v>
      </c>
      <c r="P5" s="6" t="n">
        <v>0</v>
      </c>
    </row>
    <row r="6" customFormat="false" ht="15" hidden="false" customHeight="false" outlineLevel="0" collapsed="false">
      <c r="A6" s="4" t="n">
        <v>2</v>
      </c>
      <c r="B6" s="4" t="s">
        <v>18</v>
      </c>
      <c r="C6" s="4" t="s">
        <v>24</v>
      </c>
      <c r="D6" s="5" t="s">
        <v>25</v>
      </c>
      <c r="E6" s="4" t="s">
        <v>21</v>
      </c>
      <c r="F6" s="4" t="s">
        <v>21</v>
      </c>
      <c r="G6" s="4" t="s">
        <v>26</v>
      </c>
      <c r="H6" s="6" t="n">
        <v>320</v>
      </c>
      <c r="I6" s="6" t="n">
        <f aca="false">H6-J6</f>
        <v>320</v>
      </c>
      <c r="J6" s="6" t="n">
        <v>0</v>
      </c>
      <c r="K6" s="4" t="s">
        <v>26</v>
      </c>
      <c r="L6" s="6" t="n">
        <v>320</v>
      </c>
      <c r="M6" s="4" t="s">
        <v>24</v>
      </c>
      <c r="N6" s="4" t="s">
        <v>23</v>
      </c>
      <c r="O6" s="7" t="n">
        <v>0</v>
      </c>
      <c r="P6" s="6" t="n">
        <v>0</v>
      </c>
    </row>
    <row r="7" customFormat="false" ht="15" hidden="false" customHeight="false" outlineLevel="0" collapsed="false">
      <c r="A7" s="4" t="n">
        <v>3</v>
      </c>
      <c r="B7" s="4" t="s">
        <v>27</v>
      </c>
      <c r="C7" s="4" t="s">
        <v>28</v>
      </c>
      <c r="D7" s="5" t="s">
        <v>29</v>
      </c>
      <c r="E7" s="4" t="s">
        <v>30</v>
      </c>
      <c r="F7" s="4" t="s">
        <v>30</v>
      </c>
      <c r="G7" s="4" t="s">
        <v>26</v>
      </c>
      <c r="H7" s="6" t="n">
        <v>18500</v>
      </c>
      <c r="I7" s="6" t="n">
        <f aca="false">H7-J7</f>
        <v>18500</v>
      </c>
      <c r="J7" s="6" t="n">
        <v>0</v>
      </c>
      <c r="K7" s="4" t="s">
        <v>26</v>
      </c>
      <c r="L7" s="6" t="n">
        <v>18500</v>
      </c>
      <c r="M7" s="4" t="s">
        <v>28</v>
      </c>
      <c r="N7" s="4" t="s">
        <v>31</v>
      </c>
      <c r="O7" s="7" t="n">
        <v>0.07</v>
      </c>
      <c r="P7" s="6" t="n">
        <v>1210.28</v>
      </c>
    </row>
    <row r="8" customFormat="false" ht="23.85" hidden="false" customHeight="false" outlineLevel="0" collapsed="false">
      <c r="A8" s="4" t="n">
        <v>4</v>
      </c>
      <c r="B8" s="4" t="s">
        <v>27</v>
      </c>
      <c r="C8" s="4" t="s">
        <v>32</v>
      </c>
      <c r="D8" s="5" t="s">
        <v>33</v>
      </c>
      <c r="E8" s="4" t="s">
        <v>34</v>
      </c>
      <c r="F8" s="4" t="s">
        <v>34</v>
      </c>
      <c r="G8" s="4" t="s">
        <v>26</v>
      </c>
      <c r="H8" s="6" t="n">
        <v>5.82</v>
      </c>
      <c r="I8" s="6" t="n">
        <f aca="false">H8-J8</f>
        <v>5.82</v>
      </c>
      <c r="J8" s="6" t="n">
        <v>0</v>
      </c>
      <c r="K8" s="4" t="s">
        <v>26</v>
      </c>
      <c r="L8" s="6" t="n">
        <v>5.82</v>
      </c>
      <c r="M8" s="4" t="s">
        <v>32</v>
      </c>
      <c r="N8" s="4" t="s">
        <v>35</v>
      </c>
      <c r="O8" s="7" t="n">
        <v>0.07</v>
      </c>
      <c r="P8" s="6" t="n">
        <v>0.38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32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30"/>
  </cols>
  <sheetData>
    <row r="1" customFormat="false" ht="16.15" hidden="false" customHeight="false" outlineLevel="0" collapsed="false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7.75" hidden="false" customHeight="true" outlineLevel="0" collapsed="false">
      <c r="A2" s="2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3.85" hidden="false" customHeight="false" outlineLevel="0" collapsed="false">
      <c r="A4" s="3" t="s">
        <v>2</v>
      </c>
      <c r="B4" s="3" t="s">
        <v>14</v>
      </c>
      <c r="C4" s="3" t="s">
        <v>3</v>
      </c>
      <c r="D4" s="3" t="s">
        <v>5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10</v>
      </c>
      <c r="L4" s="3" t="s">
        <v>11</v>
      </c>
      <c r="M4" s="3" t="s">
        <v>44</v>
      </c>
    </row>
    <row r="5" customFormat="false" ht="23.85" hidden="false" customHeight="false" outlineLevel="0" collapsed="false">
      <c r="A5" s="4" t="n">
        <f aca="false">'4 Duplicate Bills - Detail'!A5</f>
        <v>1</v>
      </c>
      <c r="B5" s="4" t="str">
        <f aca="false">'4 Duplicate Bills - Detail'!M5</f>
        <v>6671277000013636099</v>
      </c>
      <c r="C5" s="4" t="str">
        <f aca="false">'4 Duplicate Bills - Detail'!B5</f>
        <v>001</v>
      </c>
      <c r="D5" s="5" t="str">
        <f aca="false">'4 Duplicate Bills - Detail'!D5</f>
        <v>NESTOR ISRAEL ESTRADA</v>
      </c>
      <c r="E5" s="4" t="str">
        <f aca="false">'4 Duplicate Bills - Detail'!G5</f>
        <v>Overdue</v>
      </c>
      <c r="F5" s="4" t="str">
        <f aca="false">'4 Duplicate Bills - Detail'!K5</f>
        <v>Overdue</v>
      </c>
      <c r="G5" s="4" t="str">
        <f aca="false">IF(E5=F5,"Yes","NO - Review")</f>
        <v>Yes</v>
      </c>
      <c r="H5" s="6" t="n">
        <f aca="false">'4 Duplicate Bills - Detail'!H5</f>
        <v>195</v>
      </c>
      <c r="I5" s="6" t="n">
        <f aca="false">'4 Duplicate Bills - Detail'!L5</f>
        <v>195</v>
      </c>
      <c r="J5" s="4" t="str">
        <f aca="false">IF(H5=I5,"Yes","NO - Review")</f>
        <v>Yes</v>
      </c>
      <c r="K5" s="6" t="n">
        <f aca="false">'4 Duplicate Bills - Detail'!I5</f>
        <v>0</v>
      </c>
      <c r="L5" s="6" t="n">
        <f aca="false">'4 Duplicate Bills - Detail'!J5</f>
        <v>195</v>
      </c>
      <c r="M5" s="4" t="str">
        <f aca="false">IF(AND(G5="Yes",J5="Yes"),"No update needed - verified matching","Update New System to match Legacy")</f>
        <v>No update needed - verified matching</v>
      </c>
    </row>
    <row r="6" customFormat="false" ht="23.85" hidden="false" customHeight="false" outlineLevel="0" collapsed="false">
      <c r="A6" s="4" t="n">
        <f aca="false">'4 Duplicate Bills - Detail'!A6</f>
        <v>2</v>
      </c>
      <c r="B6" s="4" t="str">
        <f aca="false">'4 Duplicate Bills - Detail'!M6</f>
        <v>6671277000013636182</v>
      </c>
      <c r="C6" s="4" t="str">
        <f aca="false">'4 Duplicate Bills - Detail'!B6</f>
        <v>001</v>
      </c>
      <c r="D6" s="5" t="str">
        <f aca="false">'4 Duplicate Bills - Detail'!D6</f>
        <v>CLARENCE GILL GARCIA</v>
      </c>
      <c r="E6" s="4" t="str">
        <f aca="false">'4 Duplicate Bills - Detail'!G6</f>
        <v>Paid</v>
      </c>
      <c r="F6" s="4" t="str">
        <f aca="false">'4 Duplicate Bills - Detail'!K6</f>
        <v>Paid</v>
      </c>
      <c r="G6" s="4" t="str">
        <f aca="false">IF(E6=F6,"Yes","NO - Review")</f>
        <v>Yes</v>
      </c>
      <c r="H6" s="6" t="n">
        <f aca="false">'4 Duplicate Bills - Detail'!H6</f>
        <v>320</v>
      </c>
      <c r="I6" s="6" t="n">
        <f aca="false">'4 Duplicate Bills - Detail'!L6</f>
        <v>320</v>
      </c>
      <c r="J6" s="4" t="str">
        <f aca="false">IF(H6=I6,"Yes","NO - Review")</f>
        <v>Yes</v>
      </c>
      <c r="K6" s="6" t="n">
        <f aca="false">'4 Duplicate Bills - Detail'!I6</f>
        <v>320</v>
      </c>
      <c r="L6" s="6" t="n">
        <f aca="false">'4 Duplicate Bills - Detail'!J6</f>
        <v>0</v>
      </c>
      <c r="M6" s="4" t="str">
        <f aca="false">IF(AND(G6="Yes",J6="Yes"),"No update needed - verified matching","Update New System to match Legacy")</f>
        <v>No update needed - verified matching</v>
      </c>
    </row>
    <row r="7" customFormat="false" ht="23.85" hidden="false" customHeight="false" outlineLevel="0" collapsed="false">
      <c r="A7" s="4" t="n">
        <f aca="false">'4 Duplicate Bills - Detail'!A7</f>
        <v>3</v>
      </c>
      <c r="B7" s="4" t="str">
        <f aca="false">'4 Duplicate Bills - Detail'!M7</f>
        <v>6671277000015104128</v>
      </c>
      <c r="C7" s="4" t="str">
        <f aca="false">'4 Duplicate Bills - Detail'!B7</f>
        <v>0000001885</v>
      </c>
      <c r="D7" s="5" t="str">
        <f aca="false">'4 Duplicate Bills - Detail'!D7</f>
        <v>GRUPO Q INVESTMENTS S.A.</v>
      </c>
      <c r="E7" s="4" t="str">
        <f aca="false">'4 Duplicate Bills - Detail'!G7</f>
        <v>Paid</v>
      </c>
      <c r="F7" s="4" t="str">
        <f aca="false">'4 Duplicate Bills - Detail'!K7</f>
        <v>Paid</v>
      </c>
      <c r="G7" s="4" t="str">
        <f aca="false">IF(E7=F7,"Yes","NO - Review")</f>
        <v>Yes</v>
      </c>
      <c r="H7" s="6" t="n">
        <f aca="false">'4 Duplicate Bills - Detail'!H7</f>
        <v>18500</v>
      </c>
      <c r="I7" s="6" t="n">
        <f aca="false">'4 Duplicate Bills - Detail'!L7</f>
        <v>18500</v>
      </c>
      <c r="J7" s="4" t="str">
        <f aca="false">IF(H7=I7,"Yes","NO - Review")</f>
        <v>Yes</v>
      </c>
      <c r="K7" s="6" t="n">
        <f aca="false">'4 Duplicate Bills - Detail'!I7</f>
        <v>18500</v>
      </c>
      <c r="L7" s="6" t="n">
        <f aca="false">'4 Duplicate Bills - Detail'!J7</f>
        <v>0</v>
      </c>
      <c r="M7" s="4" t="str">
        <f aca="false">IF(AND(G7="Yes",J7="Yes"),"No update needed - verified matching","Update New System to match Legacy")</f>
        <v>No update needed - verified matching</v>
      </c>
    </row>
    <row r="8" customFormat="false" ht="23.85" hidden="false" customHeight="false" outlineLevel="0" collapsed="false">
      <c r="A8" s="4" t="n">
        <f aca="false">'4 Duplicate Bills - Detail'!A8</f>
        <v>4</v>
      </c>
      <c r="B8" s="4" t="str">
        <f aca="false">'4 Duplicate Bills - Detail'!M8</f>
        <v>6671277000016254546</v>
      </c>
      <c r="C8" s="4" t="str">
        <f aca="false">'4 Duplicate Bills - Detail'!B8</f>
        <v>0000001885</v>
      </c>
      <c r="D8" s="5" t="str">
        <f aca="false">'4 Duplicate Bills - Detail'!D8</f>
        <v>JETOUR PETROAUTOS REPAIRS &amp; MAINTENANCE</v>
      </c>
      <c r="E8" s="4" t="str">
        <f aca="false">'4 Duplicate Bills - Detail'!G8</f>
        <v>Paid</v>
      </c>
      <c r="F8" s="4" t="str">
        <f aca="false">'4 Duplicate Bills - Detail'!K8</f>
        <v>Paid</v>
      </c>
      <c r="G8" s="4" t="str">
        <f aca="false">IF(E8=F8,"Yes","NO - Review")</f>
        <v>Yes</v>
      </c>
      <c r="H8" s="6" t="n">
        <f aca="false">'4 Duplicate Bills - Detail'!H8</f>
        <v>5.82</v>
      </c>
      <c r="I8" s="6" t="n">
        <f aca="false">'4 Duplicate Bills - Detail'!L8</f>
        <v>5.82</v>
      </c>
      <c r="J8" s="4" t="str">
        <f aca="false">IF(H8=I8,"Yes","NO - Review")</f>
        <v>Yes</v>
      </c>
      <c r="K8" s="6" t="n">
        <f aca="false">'4 Duplicate Bills - Detail'!I8</f>
        <v>5.82</v>
      </c>
      <c r="L8" s="6" t="n">
        <f aca="false">'4 Duplicate Bills - Detail'!J8</f>
        <v>0</v>
      </c>
      <c r="M8" s="4" t="str">
        <f aca="false">IF(AND(G8="Yes",J8="Yes"),"No update needed - verified matching","Update New System to match Legacy")</f>
        <v>No update needed - verified matching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2026-09-03T10:31:15Z</dcterms:created>
  <dc:creator>openpyxl</dc:creator>
  <dc:description/>
  <dc:language>en-US</dc:language>
  <cp:lastModifiedBy/>
  <dcterms:modified xsi:type="dcterms:W3CDTF">2026-09-03T10:31:33Z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